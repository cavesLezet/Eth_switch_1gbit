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ustrik\Documents\Altium\Eth_switch_1gbit\Project Outputs for Eth_switch_1gbit\"/>
    </mc:Choice>
  </mc:AlternateContent>
  <xr:revisionPtr revIDLastSave="0" documentId="13_ncr:1_{866BCBD2-BCF5-4837-BD98-6A1775A86E1E}" xr6:coauthVersionLast="47" xr6:coauthVersionMax="47" xr10:uidLastSave="{00000000-0000-0000-0000-000000000000}"/>
  <bookViews>
    <workbookView xWindow="-120" yWindow="-120" windowWidth="29040" windowHeight="15840" xr2:uid="{D3A24C72-60BA-4332-9243-555A045251C5}"/>
  </bookViews>
  <sheets>
    <sheet name="Eth_switch_1gbit_кур" sheetId="1" r:id="rId1"/>
    <sheet name="Лист1" sheetId="2" r:id="rId2"/>
    <sheet name="Лист2" sheetId="3" r:id="rId3"/>
  </sheets>
  <definedNames>
    <definedName name="_xlnm.Print_Titles" localSheetId="0">Eth_switch_1gbit_кур!$1:$1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7" i="3" l="1"/>
  <c r="D20" i="2"/>
  <c r="D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2" i="1"/>
  <c r="C31" i="1"/>
</calcChain>
</file>

<file path=xl/sharedStrings.xml><?xml version="1.0" encoding="utf-8"?>
<sst xmlns="http://schemas.openxmlformats.org/spreadsheetml/2006/main" count="260" uniqueCount="207">
  <si>
    <t>Designator</t>
  </si>
  <si>
    <t>Line #</t>
  </si>
  <si>
    <t>Quantity</t>
  </si>
  <si>
    <t>Footprint</t>
  </si>
  <si>
    <t>Name</t>
  </si>
  <si>
    <t>Description</t>
  </si>
  <si>
    <t>C1...C19, C21, C22, C24, C27, C28</t>
  </si>
  <si>
    <t>2</t>
  </si>
  <si>
    <t>0402C</t>
  </si>
  <si>
    <t>Capacitor</t>
  </si>
  <si>
    <t>Конденсатор 0402C ёмкостью 0,1 мк 10%, 16 В, X7R</t>
  </si>
  <si>
    <t>C20, C23</t>
  </si>
  <si>
    <t>3</t>
  </si>
  <si>
    <t>0603C</t>
  </si>
  <si>
    <t>GRM1885C1H220J</t>
  </si>
  <si>
    <t>Конденсатор 0603C ёмкостью 22п 5%, 50 В, NP0</t>
  </si>
  <si>
    <t>C25, C32...C35, C39, C40</t>
  </si>
  <si>
    <t>4</t>
  </si>
  <si>
    <t>Конденсатор 0603C ёмкостью 0,1 мк 10%, 50 В, X7R</t>
  </si>
  <si>
    <t>C26, C29, C30, C37, C38</t>
  </si>
  <si>
    <t>5</t>
  </si>
  <si>
    <t>1210C</t>
  </si>
  <si>
    <t>Конденсатор 1210C ёмкостью 10 мк 10%, 35 В, X7R</t>
  </si>
  <si>
    <t>C31</t>
  </si>
  <si>
    <t>6</t>
  </si>
  <si>
    <t>Конденсатор 1210C ёмкостью 1н 10%, 1000 В, X7R</t>
  </si>
  <si>
    <t>C36</t>
  </si>
  <si>
    <t>7</t>
  </si>
  <si>
    <t>ECAP_SMD_10,3x10,3</t>
  </si>
  <si>
    <t>Capacitor_polar</t>
  </si>
  <si>
    <t>Конденсатор алюминиевый электролитический 470мкФ 16В ±20% (10х10)мм SMD 460мА 2000часов 105°C</t>
  </si>
  <si>
    <t>C41, C42</t>
  </si>
  <si>
    <t>8</t>
  </si>
  <si>
    <t>Конденсатор 0603C ёмкостью 100 п 10%, 50 В, X7R</t>
  </si>
  <si>
    <t>C43...C48</t>
  </si>
  <si>
    <t>9</t>
  </si>
  <si>
    <t>Конденсатор 1210C ёмкостью 22 мк 10%, 25 В, X7R</t>
  </si>
  <si>
    <t>DA1, DA2</t>
  </si>
  <si>
    <t>10</t>
  </si>
  <si>
    <t>TSOT26</t>
  </si>
  <si>
    <t>AP63200</t>
  </si>
  <si>
    <t>DC-DC понижающий преобразователь, Vin: 3.8 - 40 В, adj, 2 А</t>
  </si>
  <si>
    <t>DD1</t>
  </si>
  <si>
    <t>11</t>
  </si>
  <si>
    <t>LQFP128_14x14_exposed_pad</t>
  </si>
  <si>
    <t>RTL8367RB-VB</t>
  </si>
  <si>
    <t>Управляемый коммутатор второго уровня на 5+2 порта 10/100/1000M</t>
  </si>
  <si>
    <t>L1</t>
  </si>
  <si>
    <t>12</t>
  </si>
  <si>
    <t>CDRH6D12</t>
  </si>
  <si>
    <t>CDRH6D12NP-2R2NC</t>
  </si>
  <si>
    <t>Индуктивность на 2,2 мкГн, номинальный ток 2,5 А</t>
  </si>
  <si>
    <t>L2</t>
  </si>
  <si>
    <t>13</t>
  </si>
  <si>
    <t>B82462G4</t>
  </si>
  <si>
    <t>B82472G6472M</t>
  </si>
  <si>
    <t>Индуктивность на 4,7 мкГн, номинальный ток 2,5 А</t>
  </si>
  <si>
    <t>R1</t>
  </si>
  <si>
    <t>14</t>
  </si>
  <si>
    <t>0603R</t>
  </si>
  <si>
    <t>RC0603FR-072K49L</t>
  </si>
  <si>
    <t>0.1Вт 0603 2.49 кОм, 1%, Чип резистор</t>
  </si>
  <si>
    <t>R2, R19...R30, R32...R34</t>
  </si>
  <si>
    <t>15</t>
  </si>
  <si>
    <t>0402R</t>
  </si>
  <si>
    <t>Resistor</t>
  </si>
  <si>
    <t>Резистор номиналом 4,7 кОм 1%</t>
  </si>
  <si>
    <t>R3...R18</t>
  </si>
  <si>
    <t>16</t>
  </si>
  <si>
    <t>Резистор номиналом 1,0 кОм 1%</t>
  </si>
  <si>
    <t>R31</t>
  </si>
  <si>
    <t>17</t>
  </si>
  <si>
    <t>Резистор номиналом 1,0 МОм 1%</t>
  </si>
  <si>
    <t>R35...R42</t>
  </si>
  <si>
    <t>18</t>
  </si>
  <si>
    <t>Резистор номиналом 470 Ом 1%</t>
  </si>
  <si>
    <t>R43</t>
  </si>
  <si>
    <t>19</t>
  </si>
  <si>
    <t>Резистор номиналом 10 кОм 1%</t>
  </si>
  <si>
    <t>R44</t>
  </si>
  <si>
    <t>20</t>
  </si>
  <si>
    <t>Резистор номиналом 750 Ом 1%</t>
  </si>
  <si>
    <t>R45</t>
  </si>
  <si>
    <t>21</t>
  </si>
  <si>
    <t>Резистор номиналом 2,0 кОм 1%</t>
  </si>
  <si>
    <t>R46</t>
  </si>
  <si>
    <t>22</t>
  </si>
  <si>
    <t>Резистор номиналом 5,6 кОм 1%</t>
  </si>
  <si>
    <t>R47</t>
  </si>
  <si>
    <t>23</t>
  </si>
  <si>
    <t>Резистор номиналом 1,8 кОм 1%</t>
  </si>
  <si>
    <t>S1</t>
  </si>
  <si>
    <t>24</t>
  </si>
  <si>
    <t>Button_SMD_6x6</t>
  </si>
  <si>
    <t>Tact_button</t>
  </si>
  <si>
    <t>Тактовая кнопка</t>
  </si>
  <si>
    <t>VD1</t>
  </si>
  <si>
    <t>25</t>
  </si>
  <si>
    <t>SMA</t>
  </si>
  <si>
    <t>SMAJ12A</t>
  </si>
  <si>
    <t>Защитный диод на 12 В, рассеиваемая мощность 400 Вт</t>
  </si>
  <si>
    <t>VD2</t>
  </si>
  <si>
    <t>26</t>
  </si>
  <si>
    <t>mini_MELF_3.5mm</t>
  </si>
  <si>
    <t>BZV55-B10</t>
  </si>
  <si>
    <t>Стабилитрон 10В, 2%, 0.5Вт</t>
  </si>
  <si>
    <t>VT1</t>
  </si>
  <si>
    <t>27</t>
  </si>
  <si>
    <t>SOT23-3</t>
  </si>
  <si>
    <t>AO3401A</t>
  </si>
  <si>
    <t>P-канальный MOSFET</t>
  </si>
  <si>
    <t>XP1</t>
  </si>
  <si>
    <t>28</t>
  </si>
  <si>
    <t>MOLEX_MICRO-FIT_430450200</t>
  </si>
  <si>
    <t>430450200</t>
  </si>
  <si>
    <t>Разъем типа провод-плата, угловой, 3 мм, 2 контакт(-ов), Штыревой Разъем, Серия Micro-Fit для монтажа в отверстия</t>
  </si>
  <si>
    <t>XS1...XS4</t>
  </si>
  <si>
    <t>29</t>
  </si>
  <si>
    <t>JK00136NL</t>
  </si>
  <si>
    <t>JK0-0136NL</t>
  </si>
  <si>
    <t>Модульный разъем (с трансформатором) Cat5/6, RJ45, Гнездо,  1 порт</t>
  </si>
  <si>
    <t>ZQ1</t>
  </si>
  <si>
    <t>30</t>
  </si>
  <si>
    <t>X322525MOB4SI</t>
  </si>
  <si>
    <t>Кварцевый резонатор SMD 25 МГц ±10ppm SMD-3225_4P</t>
  </si>
  <si>
    <t>№</t>
  </si>
  <si>
    <t>Наименование</t>
  </si>
  <si>
    <t>1-ый вариант</t>
  </si>
  <si>
    <t>Автоматическая</t>
  </si>
  <si>
    <t>Оборудование</t>
  </si>
  <si>
    <r>
      <t>T</t>
    </r>
    <r>
      <rPr>
        <vertAlign val="subscript"/>
        <sz val="12"/>
        <color theme="1"/>
        <rFont val="Times New Roman"/>
        <family val="1"/>
        <charset val="204"/>
      </rPr>
      <t>оп</t>
    </r>
    <r>
      <rPr>
        <sz val="12"/>
        <color theme="1"/>
        <rFont val="Times New Roman"/>
        <family val="1"/>
        <charset val="204"/>
      </rPr>
      <t>, сек</t>
    </r>
  </si>
  <si>
    <t>Входной контроль печатной платы</t>
  </si>
  <si>
    <t>TSMixed - тестер для входного контроля аналоговых, цифровых, аналого-цифровых ИС и систем в сборке</t>
  </si>
  <si>
    <t>Трафаретное нанесение паяльной пасты</t>
  </si>
  <si>
    <t xml:space="preserve">Автоматический конвейерный трафаретный принтер GT++ </t>
  </si>
  <si>
    <t>Контроль качества нанесения паяльной пасты</t>
  </si>
  <si>
    <t>3D-инспекция качества нанесения паяльной пасты  OMRON VP6000-V</t>
  </si>
  <si>
    <t>Установка SMD компонентов</t>
  </si>
  <si>
    <t xml:space="preserve">SMD установщик компонентов Tronstol E1 (standart) </t>
  </si>
  <si>
    <t>Визуальный контроль</t>
  </si>
  <si>
    <t>Цифровой микроскоп Tagarno Prestige Auto</t>
  </si>
  <si>
    <t>Пайка оплавлением</t>
  </si>
  <si>
    <t xml:space="preserve">Конвекционная печь конвейерного типа для оплавления припоя на печатных платах T12L </t>
  </si>
  <si>
    <t>Визуальный контроль качества пайки</t>
  </si>
  <si>
    <t>Система рентгеновского контроля СРК-1000</t>
  </si>
  <si>
    <t>Установка компонентов для монтажа в отверстия</t>
  </si>
  <si>
    <t>Автомат для смешанного монтажа ПП  с SMD-, ТНТ- и компонентами нестандартной формы JM-20</t>
  </si>
  <si>
    <t>Флюсование</t>
  </si>
  <si>
    <t>Линия селективной пайки ZSW NPS-1</t>
  </si>
  <si>
    <t xml:space="preserve">Селективная пайка </t>
  </si>
  <si>
    <t>Промывка и сушка печатной платы</t>
  </si>
  <si>
    <t xml:space="preserve">Установка отмывки трафаретов и печатных плат УСОТП‑1 </t>
  </si>
  <si>
    <t>Функциональный контроль</t>
  </si>
  <si>
    <t>Функциональный и FLASH тестер XILS600</t>
  </si>
  <si>
    <t>Нанесение защитного покрытия</t>
  </si>
  <si>
    <t>Установка селективного нанесения влагозащитных покрытий на печатные платы, SC-900</t>
  </si>
  <si>
    <t>Контроль качества нанесения защитного покрытия</t>
  </si>
  <si>
    <t>3D-Системы контроля качества нанесения защитного покрытия Parmi серия Sigmax</t>
  </si>
  <si>
    <t>Вариант №2 ручной метод производства</t>
  </si>
  <si>
    <t>1)Установить ПП</t>
  </si>
  <si>
    <t>2)Прверить ПП на отсутствие разрывов проводников, на замыкания, на дефекты переходных отверстий</t>
  </si>
  <si>
    <t>3)Извлечь печатную плату</t>
  </si>
  <si>
    <t xml:space="preserve">1)Установить ПП на стол и зафиксировать </t>
  </si>
  <si>
    <t>2)Установить трафарет поверх установленной ПП</t>
  </si>
  <si>
    <t>2)Нанести дозу паяльной пасты специальным шприцем таким образом чтоб сверху трафарета оказался валик из паяльной пасты</t>
  </si>
  <si>
    <t>3)Установить ракель под углом 45 градусов к поверхности трафарета</t>
  </si>
  <si>
    <t>4)Провести ракелем по трафарету прокатывая валик паяльной пасты сверху вниз</t>
  </si>
  <si>
    <t>5)Удалить остатки паяльной пасты</t>
  </si>
  <si>
    <t>6)Извлечь трафарет</t>
  </si>
  <si>
    <t>7)Извлечь ПП</t>
  </si>
  <si>
    <t xml:space="preserve">1)Установить печатную плату </t>
  </si>
  <si>
    <t xml:space="preserve">2)Сравнить отпечаток на плате с трафаретом.  </t>
  </si>
  <si>
    <t>3) проверить наличие дефектов нанесения паяльной пасты (перемычки, размазывание и т.д.)</t>
  </si>
  <si>
    <t>3) Извлечь печатную плату</t>
  </si>
  <si>
    <t xml:space="preserve">1)Установить печатную плату и зафиксировать её в пространстве </t>
  </si>
  <si>
    <t>2) подготовить требуемые SMD – компоненты и приборы для их установки на ПП</t>
  </si>
  <si>
    <t>3)Установить SMD – компоненты</t>
  </si>
  <si>
    <t>4)Извлечь печатную плату</t>
  </si>
  <si>
    <t>1)Установить печатную плату под микроскоп</t>
  </si>
  <si>
    <t>2)Проверить правильность установки SMD-компонентов</t>
  </si>
  <si>
    <t>3)извлечь плату</t>
  </si>
  <si>
    <t>1)Установить печатную плату в печь</t>
  </si>
  <si>
    <t xml:space="preserve">2)Выставить необходимы температурный профиль и временное ограничение </t>
  </si>
  <si>
    <t>3)извлечь печатную плату из печи</t>
  </si>
  <si>
    <t>3)Извлечь плату</t>
  </si>
  <si>
    <t>1)Установить печатную плату</t>
  </si>
  <si>
    <t>2)Установить компоненты на плату</t>
  </si>
  <si>
    <t>1)Установить печатную плату обратной стороной</t>
  </si>
  <si>
    <t>2)Смочить флюсом ЛТИ-120 все выводы компонентов, монтируемых в отверстия</t>
  </si>
  <si>
    <t>Пайка паяльником</t>
  </si>
  <si>
    <t>1)Припаять все компоненты</t>
  </si>
  <si>
    <t>2)Извлечь плату</t>
  </si>
  <si>
    <t>1)Установить ПП в ультразвуковую ванну со спиртобензиновой смесью</t>
  </si>
  <si>
    <t>2)Запустить ванну на 5 минут</t>
  </si>
  <si>
    <r>
      <t>3)</t>
    </r>
    <r>
      <rPr>
        <sz val="11"/>
        <color theme="1"/>
        <rFont val="Calibri"/>
        <family val="2"/>
        <charset val="204"/>
        <scheme val="minor"/>
      </rPr>
      <t xml:space="preserve"> </t>
    </r>
    <r>
      <rPr>
        <sz val="12"/>
        <color theme="1"/>
        <rFont val="Times New Roman"/>
        <family val="1"/>
        <charset val="204"/>
      </rPr>
      <t>Извлечь печатную плату</t>
    </r>
  </si>
  <si>
    <t>3)Сдуть компрессором спирт с платы</t>
  </si>
  <si>
    <t>2)Проверить правильность установки КМО</t>
  </si>
  <si>
    <t>3)Просмотреть все точки паяных соединений</t>
  </si>
  <si>
    <t>4)Извлечь плату</t>
  </si>
  <si>
    <t>1)Подать питание на печатную плату</t>
  </si>
  <si>
    <t>2)Подключить к 2 компьютерам через разъемы 8p8c</t>
  </si>
  <si>
    <t>3)Проверить наличие и скорость связи</t>
  </si>
  <si>
    <t>4)Снять питание с платы</t>
  </si>
  <si>
    <t>1)Установить печатный узел и зафиксировать его</t>
  </si>
  <si>
    <t xml:space="preserve">2)Нанести лак кисточкой везде где необходимо </t>
  </si>
  <si>
    <t>3)Высушить</t>
  </si>
  <si>
    <t>2)Просмотреть места с защитным покрытием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</si>
</sst>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vertAlign val="subscript"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333333"/>
      <name val="Times New Roman"/>
      <family val="1"/>
      <charset val="204"/>
    </font>
    <font>
      <sz val="12"/>
      <color rgb="FF2C2D2E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2" borderId="3" xfId="0" applyFill="1" applyBorder="1"/>
    <xf numFmtId="0" fontId="0" fillId="0" borderId="3" xfId="0" applyBorder="1"/>
    <xf numFmtId="0" fontId="0" fillId="2" borderId="4" xfId="0" applyFill="1" applyBorder="1"/>
    <xf numFmtId="0" fontId="0" fillId="0" borderId="4" xfId="0" quotePrefix="1" applyBorder="1"/>
    <xf numFmtId="0" fontId="0" fillId="2" borderId="5" xfId="0" applyFill="1" applyBorder="1"/>
    <xf numFmtId="0" fontId="1" fillId="0" borderId="6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8" fillId="0" borderId="12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4" fillId="0" borderId="10" xfId="0" applyFont="1" applyBorder="1" applyAlignment="1">
      <alignment vertical="center" wrapText="1"/>
    </xf>
    <xf numFmtId="0" fontId="4" fillId="0" borderId="13" xfId="0" applyFont="1" applyBorder="1" applyAlignment="1">
      <alignment vertical="center" wrapText="1"/>
    </xf>
    <xf numFmtId="0" fontId="4" fillId="0" borderId="12" xfId="0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0" fontId="3" fillId="0" borderId="9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4" fillId="0" borderId="15" xfId="0" applyFont="1" applyBorder="1" applyAlignment="1">
      <alignment vertical="center" wrapText="1"/>
    </xf>
    <xf numFmtId="0" fontId="4" fillId="0" borderId="9" xfId="0" applyFont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B89F-7108-4F1B-8A05-84D361E5D526}">
  <dimension ref="A1:H31"/>
  <sheetViews>
    <sheetView tabSelected="1" topLeftCell="A4" zoomScaleNormal="100" workbookViewId="0">
      <selection activeCell="F37" sqref="F37"/>
    </sheetView>
  </sheetViews>
  <sheetFormatPr defaultRowHeight="15" x14ac:dyDescent="0.25"/>
  <cols>
    <col min="1" max="1" width="17.5703125" customWidth="1"/>
    <col min="3" max="3" width="11.140625" customWidth="1"/>
    <col min="4" max="4" width="16.140625" customWidth="1"/>
    <col min="5" max="5" width="21.85546875" customWidth="1"/>
    <col min="6" max="6" width="19.7109375" customWidth="1"/>
    <col min="7" max="7" width="15.85546875" customWidth="1"/>
  </cols>
  <sheetData>
    <row r="1" spans="1:8" s="3" customFormat="1" x14ac:dyDescent="0.25">
      <c r="A1" s="2" t="s">
        <v>0</v>
      </c>
      <c r="B1" s="2" t="s">
        <v>1</v>
      </c>
      <c r="C1" s="4" t="s">
        <v>2</v>
      </c>
      <c r="D1" s="8"/>
      <c r="F1" s="6" t="s">
        <v>3</v>
      </c>
      <c r="G1" s="2" t="s">
        <v>4</v>
      </c>
      <c r="H1" s="2" t="s">
        <v>5</v>
      </c>
    </row>
    <row r="2" spans="1:8" x14ac:dyDescent="0.25">
      <c r="A2" s="1" t="s">
        <v>6</v>
      </c>
      <c r="B2" s="1" t="s">
        <v>7</v>
      </c>
      <c r="C2" s="5">
        <v>24</v>
      </c>
      <c r="D2" s="10">
        <v>2</v>
      </c>
      <c r="E2">
        <f>C2*D2</f>
        <v>48</v>
      </c>
      <c r="F2" s="7" t="s">
        <v>8</v>
      </c>
      <c r="G2" s="1" t="s">
        <v>9</v>
      </c>
      <c r="H2" s="1" t="s">
        <v>10</v>
      </c>
    </row>
    <row r="3" spans="1:8" x14ac:dyDescent="0.25">
      <c r="A3" s="1" t="s">
        <v>11</v>
      </c>
      <c r="B3" s="1" t="s">
        <v>12</v>
      </c>
      <c r="C3" s="5">
        <v>2</v>
      </c>
      <c r="D3" s="10">
        <v>2</v>
      </c>
      <c r="E3">
        <f t="shared" ref="E3:E30" si="0">C3*D3</f>
        <v>4</v>
      </c>
      <c r="F3" s="7" t="s">
        <v>13</v>
      </c>
      <c r="G3" s="1" t="s">
        <v>14</v>
      </c>
      <c r="H3" s="1" t="s">
        <v>15</v>
      </c>
    </row>
    <row r="4" spans="1:8" x14ac:dyDescent="0.25">
      <c r="A4" s="1" t="s">
        <v>16</v>
      </c>
      <c r="B4" s="1" t="s">
        <v>17</v>
      </c>
      <c r="C4" s="5">
        <v>7</v>
      </c>
      <c r="D4" s="10">
        <v>2</v>
      </c>
      <c r="E4">
        <f t="shared" si="0"/>
        <v>14</v>
      </c>
      <c r="F4" s="7" t="s">
        <v>13</v>
      </c>
      <c r="G4" s="1" t="s">
        <v>9</v>
      </c>
      <c r="H4" s="1" t="s">
        <v>18</v>
      </c>
    </row>
    <row r="5" spans="1:8" x14ac:dyDescent="0.25">
      <c r="A5" s="1" t="s">
        <v>19</v>
      </c>
      <c r="B5" s="1" t="s">
        <v>20</v>
      </c>
      <c r="C5" s="5">
        <v>5</v>
      </c>
      <c r="D5" s="10">
        <v>2</v>
      </c>
      <c r="E5">
        <f t="shared" si="0"/>
        <v>10</v>
      </c>
      <c r="F5" s="7" t="s">
        <v>21</v>
      </c>
      <c r="G5" s="1" t="s">
        <v>9</v>
      </c>
      <c r="H5" s="1" t="s">
        <v>22</v>
      </c>
    </row>
    <row r="6" spans="1:8" x14ac:dyDescent="0.25">
      <c r="A6" s="1" t="s">
        <v>23</v>
      </c>
      <c r="B6" s="1" t="s">
        <v>24</v>
      </c>
      <c r="C6" s="5">
        <v>1</v>
      </c>
      <c r="D6" s="10">
        <v>2</v>
      </c>
      <c r="E6">
        <f t="shared" si="0"/>
        <v>2</v>
      </c>
      <c r="F6" s="7" t="s">
        <v>21</v>
      </c>
      <c r="G6" s="1" t="s">
        <v>9</v>
      </c>
      <c r="H6" s="1" t="s">
        <v>25</v>
      </c>
    </row>
    <row r="7" spans="1:8" x14ac:dyDescent="0.25">
      <c r="A7" s="1" t="s">
        <v>26</v>
      </c>
      <c r="B7" s="1" t="s">
        <v>27</v>
      </c>
      <c r="C7" s="5">
        <v>1</v>
      </c>
      <c r="D7" s="10">
        <v>2</v>
      </c>
      <c r="E7">
        <f t="shared" si="0"/>
        <v>2</v>
      </c>
      <c r="F7" s="7" t="s">
        <v>28</v>
      </c>
      <c r="G7" s="1" t="s">
        <v>29</v>
      </c>
      <c r="H7" s="1" t="s">
        <v>30</v>
      </c>
    </row>
    <row r="8" spans="1:8" x14ac:dyDescent="0.25">
      <c r="A8" s="1" t="s">
        <v>31</v>
      </c>
      <c r="B8" s="1" t="s">
        <v>32</v>
      </c>
      <c r="C8" s="5">
        <v>2</v>
      </c>
      <c r="D8" s="10">
        <v>2</v>
      </c>
      <c r="E8">
        <f t="shared" si="0"/>
        <v>4</v>
      </c>
      <c r="F8" s="7" t="s">
        <v>13</v>
      </c>
      <c r="G8" s="1" t="s">
        <v>9</v>
      </c>
      <c r="H8" s="1" t="s">
        <v>33</v>
      </c>
    </row>
    <row r="9" spans="1:8" x14ac:dyDescent="0.25">
      <c r="A9" s="1" t="s">
        <v>34</v>
      </c>
      <c r="B9" s="1" t="s">
        <v>35</v>
      </c>
      <c r="C9" s="5">
        <v>6</v>
      </c>
      <c r="D9" s="10">
        <v>2</v>
      </c>
      <c r="E9">
        <f t="shared" si="0"/>
        <v>12</v>
      </c>
      <c r="F9" s="7" t="s">
        <v>21</v>
      </c>
      <c r="G9" s="1" t="s">
        <v>9</v>
      </c>
      <c r="H9" s="1" t="s">
        <v>36</v>
      </c>
    </row>
    <row r="10" spans="1:8" x14ac:dyDescent="0.25">
      <c r="A10" s="1" t="s">
        <v>37</v>
      </c>
      <c r="B10" s="1" t="s">
        <v>38</v>
      </c>
      <c r="C10" s="5">
        <v>2</v>
      </c>
      <c r="D10" s="10">
        <v>6</v>
      </c>
      <c r="E10">
        <f t="shared" si="0"/>
        <v>12</v>
      </c>
      <c r="F10" s="7" t="s">
        <v>39</v>
      </c>
      <c r="G10" s="1" t="s">
        <v>40</v>
      </c>
      <c r="H10" s="1" t="s">
        <v>41</v>
      </c>
    </row>
    <row r="11" spans="1:8" x14ac:dyDescent="0.25">
      <c r="A11" s="1" t="s">
        <v>42</v>
      </c>
      <c r="B11" s="1" t="s">
        <v>43</v>
      </c>
      <c r="C11" s="5">
        <v>1</v>
      </c>
      <c r="D11" s="10">
        <v>129</v>
      </c>
      <c r="E11">
        <f t="shared" si="0"/>
        <v>129</v>
      </c>
      <c r="F11" s="7" t="s">
        <v>44</v>
      </c>
      <c r="G11" s="1" t="s">
        <v>45</v>
      </c>
      <c r="H11" s="1" t="s">
        <v>46</v>
      </c>
    </row>
    <row r="12" spans="1:8" x14ac:dyDescent="0.25">
      <c r="A12" s="1" t="s">
        <v>47</v>
      </c>
      <c r="B12" s="1" t="s">
        <v>48</v>
      </c>
      <c r="C12" s="5">
        <v>1</v>
      </c>
      <c r="D12" s="10">
        <v>2</v>
      </c>
      <c r="E12">
        <f t="shared" si="0"/>
        <v>2</v>
      </c>
      <c r="F12" s="7" t="s">
        <v>49</v>
      </c>
      <c r="G12" s="1" t="s">
        <v>50</v>
      </c>
      <c r="H12" s="1" t="s">
        <v>51</v>
      </c>
    </row>
    <row r="13" spans="1:8" x14ac:dyDescent="0.25">
      <c r="A13" s="1" t="s">
        <v>52</v>
      </c>
      <c r="B13" s="1" t="s">
        <v>53</v>
      </c>
      <c r="C13" s="5">
        <v>1</v>
      </c>
      <c r="D13" s="10">
        <v>2</v>
      </c>
      <c r="E13">
        <f t="shared" si="0"/>
        <v>2</v>
      </c>
      <c r="F13" s="7" t="s">
        <v>54</v>
      </c>
      <c r="G13" s="1" t="s">
        <v>55</v>
      </c>
      <c r="H13" s="1" t="s">
        <v>56</v>
      </c>
    </row>
    <row r="14" spans="1:8" x14ac:dyDescent="0.25">
      <c r="A14" s="1" t="s">
        <v>57</v>
      </c>
      <c r="B14" s="1" t="s">
        <v>58</v>
      </c>
      <c r="C14" s="5">
        <v>1</v>
      </c>
      <c r="D14" s="10">
        <v>2</v>
      </c>
      <c r="E14">
        <f t="shared" si="0"/>
        <v>2</v>
      </c>
      <c r="F14" s="7" t="s">
        <v>59</v>
      </c>
      <c r="G14" s="1" t="s">
        <v>60</v>
      </c>
      <c r="H14" s="1" t="s">
        <v>61</v>
      </c>
    </row>
    <row r="15" spans="1:8" x14ac:dyDescent="0.25">
      <c r="A15" s="1" t="s">
        <v>62</v>
      </c>
      <c r="B15" s="1" t="s">
        <v>63</v>
      </c>
      <c r="C15" s="5">
        <v>16</v>
      </c>
      <c r="D15" s="10">
        <v>2</v>
      </c>
      <c r="E15">
        <f t="shared" si="0"/>
        <v>32</v>
      </c>
      <c r="F15" s="7" t="s">
        <v>64</v>
      </c>
      <c r="G15" s="1" t="s">
        <v>65</v>
      </c>
      <c r="H15" s="1" t="s">
        <v>66</v>
      </c>
    </row>
    <row r="16" spans="1:8" x14ac:dyDescent="0.25">
      <c r="A16" s="1" t="s">
        <v>67</v>
      </c>
      <c r="B16" s="1" t="s">
        <v>68</v>
      </c>
      <c r="C16" s="5">
        <v>16</v>
      </c>
      <c r="D16" s="10">
        <v>2</v>
      </c>
      <c r="E16">
        <f t="shared" si="0"/>
        <v>32</v>
      </c>
      <c r="F16" s="7" t="s">
        <v>64</v>
      </c>
      <c r="G16" s="1" t="s">
        <v>65</v>
      </c>
      <c r="H16" s="1" t="s">
        <v>69</v>
      </c>
    </row>
    <row r="17" spans="1:8" x14ac:dyDescent="0.25">
      <c r="A17" s="1" t="s">
        <v>70</v>
      </c>
      <c r="B17" s="1" t="s">
        <v>71</v>
      </c>
      <c r="C17" s="5">
        <v>1</v>
      </c>
      <c r="D17" s="10">
        <v>2</v>
      </c>
      <c r="E17">
        <f t="shared" si="0"/>
        <v>2</v>
      </c>
      <c r="F17" s="7" t="s">
        <v>59</v>
      </c>
      <c r="G17" s="1" t="s">
        <v>65</v>
      </c>
      <c r="H17" s="1" t="s">
        <v>72</v>
      </c>
    </row>
    <row r="18" spans="1:8" x14ac:dyDescent="0.25">
      <c r="A18" s="1" t="s">
        <v>73</v>
      </c>
      <c r="B18" s="1" t="s">
        <v>74</v>
      </c>
      <c r="C18" s="5">
        <v>8</v>
      </c>
      <c r="D18" s="10">
        <v>2</v>
      </c>
      <c r="E18">
        <f t="shared" si="0"/>
        <v>16</v>
      </c>
      <c r="F18" s="7" t="s">
        <v>64</v>
      </c>
      <c r="G18" s="1" t="s">
        <v>65</v>
      </c>
      <c r="H18" s="1" t="s">
        <v>75</v>
      </c>
    </row>
    <row r="19" spans="1:8" x14ac:dyDescent="0.25">
      <c r="A19" s="1" t="s">
        <v>76</v>
      </c>
      <c r="B19" s="1" t="s">
        <v>77</v>
      </c>
      <c r="C19" s="5">
        <v>1</v>
      </c>
      <c r="D19" s="10">
        <v>2</v>
      </c>
      <c r="E19">
        <f t="shared" si="0"/>
        <v>2</v>
      </c>
      <c r="F19" s="7" t="s">
        <v>59</v>
      </c>
      <c r="G19" s="1" t="s">
        <v>65</v>
      </c>
      <c r="H19" s="1" t="s">
        <v>78</v>
      </c>
    </row>
    <row r="20" spans="1:8" x14ac:dyDescent="0.25">
      <c r="A20" s="1" t="s">
        <v>79</v>
      </c>
      <c r="B20" s="1" t="s">
        <v>80</v>
      </c>
      <c r="C20" s="5">
        <v>1</v>
      </c>
      <c r="D20" s="10">
        <v>2</v>
      </c>
      <c r="E20">
        <f t="shared" si="0"/>
        <v>2</v>
      </c>
      <c r="F20" s="7" t="s">
        <v>59</v>
      </c>
      <c r="G20" s="1" t="s">
        <v>65</v>
      </c>
      <c r="H20" s="1" t="s">
        <v>81</v>
      </c>
    </row>
    <row r="21" spans="1:8" x14ac:dyDescent="0.25">
      <c r="A21" s="1" t="s">
        <v>82</v>
      </c>
      <c r="B21" s="1" t="s">
        <v>83</v>
      </c>
      <c r="C21" s="5">
        <v>1</v>
      </c>
      <c r="D21" s="10">
        <v>2</v>
      </c>
      <c r="E21">
        <f t="shared" si="0"/>
        <v>2</v>
      </c>
      <c r="F21" s="7" t="s">
        <v>59</v>
      </c>
      <c r="G21" s="1" t="s">
        <v>65</v>
      </c>
      <c r="H21" s="1" t="s">
        <v>84</v>
      </c>
    </row>
    <row r="22" spans="1:8" x14ac:dyDescent="0.25">
      <c r="A22" s="1" t="s">
        <v>85</v>
      </c>
      <c r="B22" s="1" t="s">
        <v>86</v>
      </c>
      <c r="C22" s="5">
        <v>1</v>
      </c>
      <c r="D22" s="10">
        <v>2</v>
      </c>
      <c r="E22">
        <f t="shared" si="0"/>
        <v>2</v>
      </c>
      <c r="F22" s="7" t="s">
        <v>59</v>
      </c>
      <c r="G22" s="1" t="s">
        <v>65</v>
      </c>
      <c r="H22" s="1" t="s">
        <v>87</v>
      </c>
    </row>
    <row r="23" spans="1:8" x14ac:dyDescent="0.25">
      <c r="A23" s="1" t="s">
        <v>88</v>
      </c>
      <c r="B23" s="1" t="s">
        <v>89</v>
      </c>
      <c r="C23" s="5">
        <v>1</v>
      </c>
      <c r="D23" s="10">
        <v>2</v>
      </c>
      <c r="E23">
        <f t="shared" si="0"/>
        <v>2</v>
      </c>
      <c r="F23" s="7" t="s">
        <v>59</v>
      </c>
      <c r="G23" s="1" t="s">
        <v>65</v>
      </c>
      <c r="H23" s="1" t="s">
        <v>90</v>
      </c>
    </row>
    <row r="24" spans="1:8" x14ac:dyDescent="0.25">
      <c r="A24" s="1" t="s">
        <v>91</v>
      </c>
      <c r="B24" s="1" t="s">
        <v>92</v>
      </c>
      <c r="C24" s="5">
        <v>1</v>
      </c>
      <c r="D24" s="10">
        <v>4</v>
      </c>
      <c r="E24">
        <f t="shared" si="0"/>
        <v>4</v>
      </c>
      <c r="F24" s="7" t="s">
        <v>93</v>
      </c>
      <c r="G24" s="1" t="s">
        <v>94</v>
      </c>
      <c r="H24" s="1" t="s">
        <v>95</v>
      </c>
    </row>
    <row r="25" spans="1:8" x14ac:dyDescent="0.25">
      <c r="A25" s="1" t="s">
        <v>96</v>
      </c>
      <c r="B25" s="1" t="s">
        <v>97</v>
      </c>
      <c r="C25" s="5">
        <v>1</v>
      </c>
      <c r="D25" s="10">
        <v>2</v>
      </c>
      <c r="E25">
        <f t="shared" si="0"/>
        <v>2</v>
      </c>
      <c r="F25" s="7" t="s">
        <v>98</v>
      </c>
      <c r="G25" s="1" t="s">
        <v>99</v>
      </c>
      <c r="H25" s="1" t="s">
        <v>100</v>
      </c>
    </row>
    <row r="26" spans="1:8" x14ac:dyDescent="0.25">
      <c r="A26" s="1" t="s">
        <v>101</v>
      </c>
      <c r="B26" s="1" t="s">
        <v>102</v>
      </c>
      <c r="C26" s="5">
        <v>1</v>
      </c>
      <c r="D26" s="10">
        <v>2</v>
      </c>
      <c r="E26">
        <f t="shared" si="0"/>
        <v>2</v>
      </c>
      <c r="F26" s="7" t="s">
        <v>103</v>
      </c>
      <c r="G26" s="1" t="s">
        <v>104</v>
      </c>
      <c r="H26" s="1" t="s">
        <v>105</v>
      </c>
    </row>
    <row r="27" spans="1:8" x14ac:dyDescent="0.25">
      <c r="A27" s="1" t="s">
        <v>106</v>
      </c>
      <c r="B27" s="1" t="s">
        <v>107</v>
      </c>
      <c r="C27" s="5">
        <v>1</v>
      </c>
      <c r="D27" s="10">
        <v>3</v>
      </c>
      <c r="E27">
        <f t="shared" si="0"/>
        <v>3</v>
      </c>
      <c r="F27" s="7" t="s">
        <v>108</v>
      </c>
      <c r="G27" s="1" t="s">
        <v>109</v>
      </c>
      <c r="H27" s="1" t="s">
        <v>110</v>
      </c>
    </row>
    <row r="28" spans="1:8" x14ac:dyDescent="0.25">
      <c r="A28" s="1" t="s">
        <v>111</v>
      </c>
      <c r="B28" s="1" t="s">
        <v>112</v>
      </c>
      <c r="C28" s="5">
        <v>1</v>
      </c>
      <c r="D28" s="10">
        <v>2</v>
      </c>
      <c r="E28">
        <f t="shared" si="0"/>
        <v>2</v>
      </c>
      <c r="F28" s="7" t="s">
        <v>113</v>
      </c>
      <c r="G28" s="1" t="s">
        <v>114</v>
      </c>
      <c r="H28" s="1" t="s">
        <v>115</v>
      </c>
    </row>
    <row r="29" spans="1:8" x14ac:dyDescent="0.25">
      <c r="A29" s="1" t="s">
        <v>116</v>
      </c>
      <c r="B29" s="1" t="s">
        <v>117</v>
      </c>
      <c r="C29" s="5">
        <v>4</v>
      </c>
      <c r="D29" s="10">
        <v>18</v>
      </c>
      <c r="E29">
        <f t="shared" si="0"/>
        <v>72</v>
      </c>
      <c r="F29" s="7" t="s">
        <v>118</v>
      </c>
      <c r="G29" s="1" t="s">
        <v>119</v>
      </c>
      <c r="H29" s="1" t="s">
        <v>120</v>
      </c>
    </row>
    <row r="30" spans="1:8" x14ac:dyDescent="0.25">
      <c r="A30" s="1" t="s">
        <v>121</v>
      </c>
      <c r="B30" s="1" t="s">
        <v>122</v>
      </c>
      <c r="C30" s="5">
        <v>1</v>
      </c>
      <c r="D30" s="10">
        <v>4</v>
      </c>
      <c r="E30">
        <f t="shared" si="0"/>
        <v>4</v>
      </c>
      <c r="F30" s="7" t="s">
        <v>123</v>
      </c>
      <c r="G30" s="1" t="s">
        <v>123</v>
      </c>
      <c r="H30" s="1" t="s">
        <v>124</v>
      </c>
    </row>
    <row r="31" spans="1:8" x14ac:dyDescent="0.25">
      <c r="C31">
        <f>SUM(C2:C30)</f>
        <v>110</v>
      </c>
      <c r="D31" s="9">
        <f>SUM(D2:D30)</f>
        <v>210</v>
      </c>
    </row>
  </sheetData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F301A-04AC-41C8-869D-3A346722388A}">
  <dimension ref="A1:D20"/>
  <sheetViews>
    <sheetView topLeftCell="A10" zoomScale="70" zoomScaleNormal="70" workbookViewId="0">
      <selection activeCell="A8" sqref="A8:XFD8"/>
    </sheetView>
  </sheetViews>
  <sheetFormatPr defaultRowHeight="15" x14ac:dyDescent="0.25"/>
  <cols>
    <col min="1" max="1" width="22.42578125" customWidth="1"/>
    <col min="2" max="2" width="28.140625" customWidth="1"/>
    <col min="3" max="3" width="29.42578125" customWidth="1"/>
  </cols>
  <sheetData>
    <row r="1" spans="1:4" ht="15.75" customHeight="1" x14ac:dyDescent="0.25">
      <c r="A1" s="17" t="s">
        <v>125</v>
      </c>
      <c r="B1" s="17" t="s">
        <v>126</v>
      </c>
      <c r="C1" s="20" t="s">
        <v>127</v>
      </c>
      <c r="D1" s="21"/>
    </row>
    <row r="2" spans="1:4" ht="16.5" thickBot="1" x14ac:dyDescent="0.3">
      <c r="A2" s="18"/>
      <c r="B2" s="18"/>
      <c r="C2" s="22" t="s">
        <v>128</v>
      </c>
      <c r="D2" s="23"/>
    </row>
    <row r="3" spans="1:4" ht="32.25" thickBot="1" x14ac:dyDescent="0.3">
      <c r="A3" s="19"/>
      <c r="B3" s="19"/>
      <c r="C3" s="11" t="s">
        <v>129</v>
      </c>
      <c r="D3" s="11" t="s">
        <v>130</v>
      </c>
    </row>
    <row r="4" spans="1:4" ht="85.5" customHeight="1" thickBot="1" x14ac:dyDescent="0.3">
      <c r="A4" s="12">
        <v>5</v>
      </c>
      <c r="B4" s="11" t="s">
        <v>131</v>
      </c>
      <c r="C4" s="11" t="s">
        <v>132</v>
      </c>
      <c r="D4" s="11">
        <v>150</v>
      </c>
    </row>
    <row r="5" spans="1:4" ht="59.25" customHeight="1" thickBot="1" x14ac:dyDescent="0.3">
      <c r="A5" s="12">
        <v>10</v>
      </c>
      <c r="B5" s="11" t="s">
        <v>133</v>
      </c>
      <c r="C5" s="13" t="s">
        <v>134</v>
      </c>
      <c r="D5" s="11">
        <v>60</v>
      </c>
    </row>
    <row r="6" spans="1:4" ht="43.5" customHeight="1" thickBot="1" x14ac:dyDescent="0.3">
      <c r="A6" s="12">
        <v>15</v>
      </c>
      <c r="B6" s="11" t="s">
        <v>135</v>
      </c>
      <c r="C6" s="11" t="s">
        <v>136</v>
      </c>
      <c r="D6" s="11">
        <v>35</v>
      </c>
    </row>
    <row r="7" spans="1:4" ht="63" customHeight="1" thickBot="1" x14ac:dyDescent="0.3">
      <c r="A7" s="12">
        <v>20</v>
      </c>
      <c r="B7" s="11" t="s">
        <v>137</v>
      </c>
      <c r="C7" s="13" t="s">
        <v>138</v>
      </c>
      <c r="D7" s="11">
        <v>100</v>
      </c>
    </row>
    <row r="8" spans="1:4" ht="56.25" customHeight="1" thickBot="1" x14ac:dyDescent="0.3">
      <c r="A8" s="12">
        <v>25</v>
      </c>
      <c r="B8" s="11" t="s">
        <v>139</v>
      </c>
      <c r="C8" s="11" t="s">
        <v>140</v>
      </c>
      <c r="D8" s="11">
        <v>5</v>
      </c>
    </row>
    <row r="9" spans="1:4" ht="94.5" customHeight="1" thickBot="1" x14ac:dyDescent="0.3">
      <c r="A9" s="12">
        <v>30</v>
      </c>
      <c r="B9" s="11" t="s">
        <v>141</v>
      </c>
      <c r="C9" s="13" t="s">
        <v>142</v>
      </c>
      <c r="D9" s="11">
        <v>200</v>
      </c>
    </row>
    <row r="10" spans="1:4" ht="51" customHeight="1" thickBot="1" x14ac:dyDescent="0.3">
      <c r="A10" s="12">
        <v>35</v>
      </c>
      <c r="B10" s="11" t="s">
        <v>143</v>
      </c>
      <c r="C10" s="11" t="s">
        <v>144</v>
      </c>
      <c r="D10" s="11">
        <v>5</v>
      </c>
    </row>
    <row r="11" spans="1:4" ht="74.25" customHeight="1" thickBot="1" x14ac:dyDescent="0.3">
      <c r="A11" s="12">
        <v>40</v>
      </c>
      <c r="B11" s="11" t="s">
        <v>145</v>
      </c>
      <c r="C11" s="14" t="s">
        <v>146</v>
      </c>
      <c r="D11" s="11">
        <v>150</v>
      </c>
    </row>
    <row r="12" spans="1:4" ht="47.25" customHeight="1" thickBot="1" x14ac:dyDescent="0.3">
      <c r="A12" s="12">
        <v>45</v>
      </c>
      <c r="B12" s="11" t="s">
        <v>147</v>
      </c>
      <c r="C12" s="11" t="s">
        <v>148</v>
      </c>
      <c r="D12" s="11">
        <v>40</v>
      </c>
    </row>
    <row r="13" spans="1:4" ht="48" customHeight="1" thickBot="1" x14ac:dyDescent="0.3">
      <c r="A13" s="12">
        <v>50</v>
      </c>
      <c r="B13" s="11" t="s">
        <v>149</v>
      </c>
      <c r="C13" s="13" t="s">
        <v>148</v>
      </c>
      <c r="D13" s="11">
        <v>310</v>
      </c>
    </row>
    <row r="14" spans="1:4" ht="85.5" customHeight="1" thickBot="1" x14ac:dyDescent="0.3">
      <c r="A14" s="12">
        <v>55</v>
      </c>
      <c r="B14" s="11" t="s">
        <v>150</v>
      </c>
      <c r="C14" s="11" t="s">
        <v>151</v>
      </c>
      <c r="D14" s="11">
        <v>510</v>
      </c>
    </row>
    <row r="15" spans="1:4" ht="78" customHeight="1" thickBot="1" x14ac:dyDescent="0.3">
      <c r="A15" s="12">
        <v>60</v>
      </c>
      <c r="B15" s="11" t="s">
        <v>139</v>
      </c>
      <c r="C15" s="11" t="s">
        <v>140</v>
      </c>
      <c r="D15" s="11">
        <v>15</v>
      </c>
    </row>
    <row r="16" spans="1:4" ht="111" thickBot="1" x14ac:dyDescent="0.3">
      <c r="A16" s="12">
        <v>65</v>
      </c>
      <c r="B16" s="11" t="s">
        <v>152</v>
      </c>
      <c r="C16" s="13" t="s">
        <v>153</v>
      </c>
      <c r="D16" s="11">
        <v>40</v>
      </c>
    </row>
    <row r="17" spans="1:4" ht="106.5" customHeight="1" thickBot="1" x14ac:dyDescent="0.3">
      <c r="A17" s="12">
        <v>70</v>
      </c>
      <c r="B17" s="11" t="s">
        <v>154</v>
      </c>
      <c r="C17" s="11" t="s">
        <v>155</v>
      </c>
      <c r="D17" s="11">
        <v>10</v>
      </c>
    </row>
    <row r="18" spans="1:4" ht="61.5" customHeight="1" x14ac:dyDescent="0.25">
      <c r="A18" s="17">
        <v>75</v>
      </c>
      <c r="B18" s="17" t="s">
        <v>156</v>
      </c>
      <c r="C18" s="17" t="s">
        <v>157</v>
      </c>
      <c r="D18" s="17">
        <v>20</v>
      </c>
    </row>
    <row r="19" spans="1:4" ht="15.75" thickBot="1" x14ac:dyDescent="0.3">
      <c r="A19" s="19"/>
      <c r="B19" s="19"/>
      <c r="C19" s="19"/>
      <c r="D19" s="19"/>
    </row>
    <row r="20" spans="1:4" ht="16.5" thickBot="1" x14ac:dyDescent="0.3">
      <c r="A20" s="24"/>
      <c r="B20" s="25"/>
      <c r="C20" s="26"/>
      <c r="D20" s="16">
        <f>SUM(D4:D19)</f>
        <v>1650</v>
      </c>
    </row>
  </sheetData>
  <mergeCells count="9">
    <mergeCell ref="A20:C20"/>
    <mergeCell ref="A1:A3"/>
    <mergeCell ref="B1:B3"/>
    <mergeCell ref="C1:D1"/>
    <mergeCell ref="C2:D2"/>
    <mergeCell ref="A18:A19"/>
    <mergeCell ref="B18:B19"/>
    <mergeCell ref="C18:C19"/>
    <mergeCell ref="D18:D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70E9D-5F06-445F-B9E3-E90CBE958257}">
  <dimension ref="A1:D57"/>
  <sheetViews>
    <sheetView topLeftCell="A55" workbookViewId="0">
      <selection activeCell="D58" sqref="D58"/>
    </sheetView>
  </sheetViews>
  <sheetFormatPr defaultRowHeight="15" x14ac:dyDescent="0.25"/>
  <sheetData>
    <row r="1" spans="1:4" ht="47.25" customHeight="1" thickBot="1" x14ac:dyDescent="0.3">
      <c r="A1" s="17" t="s">
        <v>125</v>
      </c>
      <c r="B1" s="17" t="s">
        <v>126</v>
      </c>
      <c r="C1" s="28" t="s">
        <v>158</v>
      </c>
      <c r="D1" s="29"/>
    </row>
    <row r="2" spans="1:4" ht="32.25" thickBot="1" x14ac:dyDescent="0.3">
      <c r="A2" s="19"/>
      <c r="B2" s="19"/>
      <c r="C2" s="11" t="s">
        <v>129</v>
      </c>
      <c r="D2" s="11" t="s">
        <v>130</v>
      </c>
    </row>
    <row r="3" spans="1:4" ht="47.25" x14ac:dyDescent="0.25">
      <c r="A3" s="17">
        <v>5</v>
      </c>
      <c r="B3" s="17" t="s">
        <v>131</v>
      </c>
      <c r="C3" s="15" t="s">
        <v>159</v>
      </c>
      <c r="D3" s="17">
        <v>300</v>
      </c>
    </row>
    <row r="4" spans="1:4" ht="267.75" x14ac:dyDescent="0.25">
      <c r="A4" s="18"/>
      <c r="B4" s="18"/>
      <c r="C4" s="15" t="s">
        <v>160</v>
      </c>
      <c r="D4" s="18"/>
    </row>
    <row r="5" spans="1:4" ht="63.75" thickBot="1" x14ac:dyDescent="0.3">
      <c r="A5" s="19"/>
      <c r="B5" s="19"/>
      <c r="C5" s="11" t="s">
        <v>161</v>
      </c>
      <c r="D5" s="19"/>
    </row>
    <row r="6" spans="1:4" ht="94.5" x14ac:dyDescent="0.25">
      <c r="A6" s="17">
        <v>10</v>
      </c>
      <c r="B6" s="17" t="s">
        <v>133</v>
      </c>
      <c r="C6" s="27" t="s">
        <v>162</v>
      </c>
      <c r="D6" s="17">
        <v>210</v>
      </c>
    </row>
    <row r="7" spans="1:4" ht="126" x14ac:dyDescent="0.25">
      <c r="A7" s="18"/>
      <c r="B7" s="18"/>
      <c r="C7" s="27" t="s">
        <v>163</v>
      </c>
      <c r="D7" s="18"/>
    </row>
    <row r="8" spans="1:4" ht="283.5" x14ac:dyDescent="0.25">
      <c r="A8" s="18"/>
      <c r="B8" s="18"/>
      <c r="C8" s="27" t="s">
        <v>164</v>
      </c>
      <c r="D8" s="18"/>
    </row>
    <row r="9" spans="1:4" ht="189" x14ac:dyDescent="0.25">
      <c r="A9" s="18"/>
      <c r="B9" s="18"/>
      <c r="C9" s="27" t="s">
        <v>165</v>
      </c>
      <c r="D9" s="18"/>
    </row>
    <row r="10" spans="1:4" ht="204.75" x14ac:dyDescent="0.25">
      <c r="A10" s="18"/>
      <c r="B10" s="18"/>
      <c r="C10" s="27" t="s">
        <v>166</v>
      </c>
      <c r="D10" s="18"/>
    </row>
    <row r="11" spans="1:4" ht="78.75" x14ac:dyDescent="0.25">
      <c r="A11" s="18"/>
      <c r="B11" s="18"/>
      <c r="C11" s="27" t="s">
        <v>167</v>
      </c>
      <c r="D11" s="18"/>
    </row>
    <row r="12" spans="1:4" ht="63" x14ac:dyDescent="0.25">
      <c r="A12" s="18"/>
      <c r="B12" s="18"/>
      <c r="C12" s="27" t="s">
        <v>168</v>
      </c>
      <c r="D12" s="18"/>
    </row>
    <row r="13" spans="1:4" ht="32.25" thickBot="1" x14ac:dyDescent="0.3">
      <c r="A13" s="19"/>
      <c r="B13" s="19"/>
      <c r="C13" s="13" t="s">
        <v>169</v>
      </c>
      <c r="D13" s="19"/>
    </row>
    <row r="14" spans="1:4" ht="63" x14ac:dyDescent="0.25">
      <c r="A14" s="17">
        <v>15</v>
      </c>
      <c r="B14" s="17" t="s">
        <v>135</v>
      </c>
      <c r="C14" s="15" t="s">
        <v>170</v>
      </c>
      <c r="D14" s="17">
        <v>120</v>
      </c>
    </row>
    <row r="15" spans="1:4" ht="110.25" x14ac:dyDescent="0.25">
      <c r="A15" s="18"/>
      <c r="B15" s="18"/>
      <c r="C15" s="15" t="s">
        <v>171</v>
      </c>
      <c r="D15" s="18"/>
    </row>
    <row r="16" spans="1:4" ht="236.25" x14ac:dyDescent="0.25">
      <c r="A16" s="18"/>
      <c r="B16" s="18"/>
      <c r="C16" s="15" t="s">
        <v>172</v>
      </c>
      <c r="D16" s="18"/>
    </row>
    <row r="17" spans="1:4" ht="63.75" thickBot="1" x14ac:dyDescent="0.3">
      <c r="A17" s="19"/>
      <c r="B17" s="19"/>
      <c r="C17" s="11" t="s">
        <v>173</v>
      </c>
      <c r="D17" s="19"/>
    </row>
    <row r="18" spans="1:4" ht="157.5" x14ac:dyDescent="0.25">
      <c r="A18" s="17">
        <v>20</v>
      </c>
      <c r="B18" s="17" t="s">
        <v>137</v>
      </c>
      <c r="C18" s="27" t="s">
        <v>174</v>
      </c>
      <c r="D18" s="17">
        <v>100</v>
      </c>
    </row>
    <row r="19" spans="1:4" ht="220.5" x14ac:dyDescent="0.25">
      <c r="A19" s="18"/>
      <c r="B19" s="18"/>
      <c r="C19" s="27" t="s">
        <v>175</v>
      </c>
      <c r="D19" s="18"/>
    </row>
    <row r="20" spans="1:4" ht="78.75" x14ac:dyDescent="0.25">
      <c r="A20" s="18"/>
      <c r="B20" s="18"/>
      <c r="C20" s="27" t="s">
        <v>176</v>
      </c>
      <c r="D20" s="18"/>
    </row>
    <row r="21" spans="1:4" ht="63.75" thickBot="1" x14ac:dyDescent="0.3">
      <c r="A21" s="19"/>
      <c r="B21" s="19"/>
      <c r="C21" s="13" t="s">
        <v>177</v>
      </c>
      <c r="D21" s="19"/>
    </row>
    <row r="22" spans="1:4" ht="110.25" x14ac:dyDescent="0.25">
      <c r="A22" s="17">
        <v>25</v>
      </c>
      <c r="B22" s="17" t="s">
        <v>139</v>
      </c>
      <c r="C22" s="15" t="s">
        <v>178</v>
      </c>
      <c r="D22" s="17">
        <v>60</v>
      </c>
    </row>
    <row r="23" spans="1:4" ht="126" x14ac:dyDescent="0.25">
      <c r="A23" s="18"/>
      <c r="B23" s="18"/>
      <c r="C23" s="15" t="s">
        <v>179</v>
      </c>
      <c r="D23" s="18"/>
    </row>
    <row r="24" spans="1:4" ht="32.25" thickBot="1" x14ac:dyDescent="0.3">
      <c r="A24" s="19"/>
      <c r="B24" s="19"/>
      <c r="C24" s="11" t="s">
        <v>180</v>
      </c>
      <c r="D24" s="19"/>
    </row>
    <row r="25" spans="1:4" ht="78.75" x14ac:dyDescent="0.25">
      <c r="A25" s="17">
        <v>30</v>
      </c>
      <c r="B25" s="17" t="s">
        <v>141</v>
      </c>
      <c r="C25" s="15" t="s">
        <v>181</v>
      </c>
      <c r="D25" s="17">
        <v>1000</v>
      </c>
    </row>
    <row r="26" spans="1:4" ht="189" x14ac:dyDescent="0.25">
      <c r="A26" s="18"/>
      <c r="B26" s="18"/>
      <c r="C26" s="15" t="s">
        <v>182</v>
      </c>
      <c r="D26" s="18"/>
    </row>
    <row r="27" spans="1:4" ht="79.5" thickBot="1" x14ac:dyDescent="0.3">
      <c r="A27" s="19"/>
      <c r="B27" s="19"/>
      <c r="C27" s="11" t="s">
        <v>183</v>
      </c>
      <c r="D27" s="19"/>
    </row>
    <row r="28" spans="1:4" ht="110.25" x14ac:dyDescent="0.25">
      <c r="A28" s="17">
        <v>35</v>
      </c>
      <c r="B28" s="17" t="s">
        <v>143</v>
      </c>
      <c r="C28" s="15" t="s">
        <v>178</v>
      </c>
      <c r="D28" s="17">
        <v>60</v>
      </c>
    </row>
    <row r="29" spans="1:4" ht="126" x14ac:dyDescent="0.25">
      <c r="A29" s="18"/>
      <c r="B29" s="18"/>
      <c r="C29" s="15" t="s">
        <v>179</v>
      </c>
      <c r="D29" s="18"/>
    </row>
    <row r="30" spans="1:4" ht="32.25" thickBot="1" x14ac:dyDescent="0.3">
      <c r="A30" s="19"/>
      <c r="B30" s="19"/>
      <c r="C30" s="11" t="s">
        <v>184</v>
      </c>
      <c r="D30" s="19"/>
    </row>
    <row r="31" spans="1:4" ht="63" x14ac:dyDescent="0.25">
      <c r="A31" s="17">
        <v>40</v>
      </c>
      <c r="B31" s="17" t="s">
        <v>145</v>
      </c>
      <c r="C31" s="15" t="s">
        <v>185</v>
      </c>
      <c r="D31" s="17">
        <v>150</v>
      </c>
    </row>
    <row r="32" spans="1:4" ht="78.75" x14ac:dyDescent="0.25">
      <c r="A32" s="18"/>
      <c r="B32" s="18"/>
      <c r="C32" s="15" t="s">
        <v>186</v>
      </c>
      <c r="D32" s="18"/>
    </row>
    <row r="33" spans="1:4" ht="32.25" thickBot="1" x14ac:dyDescent="0.3">
      <c r="A33" s="19"/>
      <c r="B33" s="19"/>
      <c r="C33" s="11" t="s">
        <v>184</v>
      </c>
      <c r="D33" s="19"/>
    </row>
    <row r="34" spans="1:4" ht="126" x14ac:dyDescent="0.25">
      <c r="A34" s="17">
        <v>45</v>
      </c>
      <c r="B34" s="17" t="s">
        <v>147</v>
      </c>
      <c r="C34" s="15" t="s">
        <v>187</v>
      </c>
      <c r="D34" s="17">
        <v>120</v>
      </c>
    </row>
    <row r="35" spans="1:4" ht="189" x14ac:dyDescent="0.25">
      <c r="A35" s="18"/>
      <c r="B35" s="18"/>
      <c r="C35" s="15" t="s">
        <v>188</v>
      </c>
      <c r="D35" s="18"/>
    </row>
    <row r="36" spans="1:4" ht="16.5" thickBot="1" x14ac:dyDescent="0.3">
      <c r="A36" s="19"/>
      <c r="B36" s="19"/>
      <c r="C36" s="11"/>
      <c r="D36" s="19"/>
    </row>
    <row r="37" spans="1:4" ht="63" x14ac:dyDescent="0.25">
      <c r="A37" s="17">
        <v>50</v>
      </c>
      <c r="B37" s="17" t="s">
        <v>189</v>
      </c>
      <c r="C37" s="15" t="s">
        <v>190</v>
      </c>
      <c r="D37" s="17">
        <v>1500</v>
      </c>
    </row>
    <row r="38" spans="1:4" ht="32.25" thickBot="1" x14ac:dyDescent="0.3">
      <c r="A38" s="19"/>
      <c r="B38" s="19"/>
      <c r="C38" s="11" t="s">
        <v>191</v>
      </c>
      <c r="D38" s="19"/>
    </row>
    <row r="39" spans="1:4" ht="173.25" x14ac:dyDescent="0.25">
      <c r="A39" s="17">
        <v>55</v>
      </c>
      <c r="B39" s="17" t="s">
        <v>150</v>
      </c>
      <c r="C39" s="15" t="s">
        <v>192</v>
      </c>
      <c r="D39" s="17">
        <v>500</v>
      </c>
    </row>
    <row r="40" spans="1:4" ht="78.75" x14ac:dyDescent="0.25">
      <c r="A40" s="18"/>
      <c r="B40" s="18"/>
      <c r="C40" s="15" t="s">
        <v>193</v>
      </c>
      <c r="D40" s="18"/>
    </row>
    <row r="41" spans="1:4" ht="63" x14ac:dyDescent="0.25">
      <c r="A41" s="18"/>
      <c r="B41" s="18"/>
      <c r="C41" s="15" t="s">
        <v>194</v>
      </c>
      <c r="D41" s="18"/>
    </row>
    <row r="42" spans="1:4" ht="79.5" thickBot="1" x14ac:dyDescent="0.3">
      <c r="A42" s="19"/>
      <c r="B42" s="19"/>
      <c r="C42" s="11" t="s">
        <v>195</v>
      </c>
      <c r="D42" s="19"/>
    </row>
    <row r="43" spans="1:4" ht="110.25" x14ac:dyDescent="0.25">
      <c r="A43" s="17">
        <v>60</v>
      </c>
      <c r="B43" s="17" t="s">
        <v>139</v>
      </c>
      <c r="C43" s="15" t="s">
        <v>178</v>
      </c>
      <c r="D43" s="17">
        <v>150</v>
      </c>
    </row>
    <row r="44" spans="1:4" ht="94.5" x14ac:dyDescent="0.25">
      <c r="A44" s="18"/>
      <c r="B44" s="18"/>
      <c r="C44" s="15" t="s">
        <v>196</v>
      </c>
      <c r="D44" s="18"/>
    </row>
    <row r="45" spans="1:4" ht="110.25" x14ac:dyDescent="0.25">
      <c r="A45" s="18"/>
      <c r="B45" s="18"/>
      <c r="C45" s="15" t="s">
        <v>197</v>
      </c>
      <c r="D45" s="18"/>
    </row>
    <row r="46" spans="1:4" ht="32.25" thickBot="1" x14ac:dyDescent="0.3">
      <c r="A46" s="19"/>
      <c r="B46" s="19"/>
      <c r="C46" s="11" t="s">
        <v>198</v>
      </c>
      <c r="D46" s="19"/>
    </row>
    <row r="47" spans="1:4" ht="94.5" x14ac:dyDescent="0.25">
      <c r="A47" s="17">
        <v>65</v>
      </c>
      <c r="B47" s="17" t="s">
        <v>152</v>
      </c>
      <c r="C47" s="27" t="s">
        <v>199</v>
      </c>
      <c r="D47" s="17">
        <v>300</v>
      </c>
    </row>
    <row r="48" spans="1:4" ht="126" x14ac:dyDescent="0.25">
      <c r="A48" s="18"/>
      <c r="B48" s="18"/>
      <c r="C48" s="27" t="s">
        <v>200</v>
      </c>
      <c r="D48" s="18"/>
    </row>
    <row r="49" spans="1:4" ht="94.5" x14ac:dyDescent="0.25">
      <c r="A49" s="18"/>
      <c r="B49" s="18"/>
      <c r="C49" s="27" t="s">
        <v>201</v>
      </c>
      <c r="D49" s="18"/>
    </row>
    <row r="50" spans="1:4" ht="48" thickBot="1" x14ac:dyDescent="0.3">
      <c r="A50" s="19"/>
      <c r="B50" s="19"/>
      <c r="C50" s="13" t="s">
        <v>202</v>
      </c>
      <c r="D50" s="19"/>
    </row>
    <row r="51" spans="1:4" ht="126" x14ac:dyDescent="0.25">
      <c r="A51" s="17">
        <v>70</v>
      </c>
      <c r="B51" s="17" t="s">
        <v>154</v>
      </c>
      <c r="C51" s="15" t="s">
        <v>203</v>
      </c>
      <c r="D51" s="17">
        <v>240</v>
      </c>
    </row>
    <row r="52" spans="1:4" ht="110.25" x14ac:dyDescent="0.25">
      <c r="A52" s="18"/>
      <c r="B52" s="18"/>
      <c r="C52" s="15" t="s">
        <v>204</v>
      </c>
      <c r="D52" s="18"/>
    </row>
    <row r="53" spans="1:4" ht="32.25" thickBot="1" x14ac:dyDescent="0.3">
      <c r="A53" s="19"/>
      <c r="B53" s="19"/>
      <c r="C53" s="11" t="s">
        <v>205</v>
      </c>
      <c r="D53" s="19"/>
    </row>
    <row r="54" spans="1:4" ht="63" x14ac:dyDescent="0.25">
      <c r="A54" s="17">
        <v>75</v>
      </c>
      <c r="B54" s="17" t="s">
        <v>156</v>
      </c>
      <c r="C54" s="15" t="s">
        <v>170</v>
      </c>
      <c r="D54" s="17">
        <v>20</v>
      </c>
    </row>
    <row r="55" spans="1:4" ht="110.25" x14ac:dyDescent="0.25">
      <c r="A55" s="18"/>
      <c r="B55" s="18"/>
      <c r="C55" s="15" t="s">
        <v>206</v>
      </c>
      <c r="D55" s="18"/>
    </row>
    <row r="56" spans="1:4" ht="32.25" thickBot="1" x14ac:dyDescent="0.3">
      <c r="A56" s="19"/>
      <c r="B56" s="19"/>
      <c r="C56" s="11" t="s">
        <v>184</v>
      </c>
      <c r="D56" s="19"/>
    </row>
    <row r="57" spans="1:4" ht="16.5" thickBot="1" x14ac:dyDescent="0.3">
      <c r="A57" s="24"/>
      <c r="B57" s="25"/>
      <c r="C57" s="26"/>
      <c r="D57" s="16">
        <f>SUM(D3:D56)</f>
        <v>4830</v>
      </c>
    </row>
  </sheetData>
  <mergeCells count="49">
    <mergeCell ref="A57:C57"/>
    <mergeCell ref="A51:A53"/>
    <mergeCell ref="B51:B53"/>
    <mergeCell ref="D51:D53"/>
    <mergeCell ref="A54:A56"/>
    <mergeCell ref="B54:B56"/>
    <mergeCell ref="D54:D56"/>
    <mergeCell ref="A43:A46"/>
    <mergeCell ref="B43:B46"/>
    <mergeCell ref="D43:D46"/>
    <mergeCell ref="A47:A50"/>
    <mergeCell ref="B47:B50"/>
    <mergeCell ref="D47:D50"/>
    <mergeCell ref="A37:A38"/>
    <mergeCell ref="B37:B38"/>
    <mergeCell ref="D37:D38"/>
    <mergeCell ref="A39:A42"/>
    <mergeCell ref="B39:B42"/>
    <mergeCell ref="D39:D42"/>
    <mergeCell ref="A31:A33"/>
    <mergeCell ref="B31:B33"/>
    <mergeCell ref="D31:D33"/>
    <mergeCell ref="A34:A36"/>
    <mergeCell ref="B34:B36"/>
    <mergeCell ref="D34:D36"/>
    <mergeCell ref="A25:A27"/>
    <mergeCell ref="B25:B27"/>
    <mergeCell ref="D25:D27"/>
    <mergeCell ref="A28:A30"/>
    <mergeCell ref="B28:B30"/>
    <mergeCell ref="D28:D30"/>
    <mergeCell ref="A18:A21"/>
    <mergeCell ref="B18:B21"/>
    <mergeCell ref="D18:D21"/>
    <mergeCell ref="A22:A24"/>
    <mergeCell ref="B22:B24"/>
    <mergeCell ref="D22:D24"/>
    <mergeCell ref="A6:A13"/>
    <mergeCell ref="B6:B13"/>
    <mergeCell ref="D6:D13"/>
    <mergeCell ref="A14:A17"/>
    <mergeCell ref="B14:B17"/>
    <mergeCell ref="D14:D17"/>
    <mergeCell ref="A1:A2"/>
    <mergeCell ref="B1:B2"/>
    <mergeCell ref="C1:D1"/>
    <mergeCell ref="A3:A5"/>
    <mergeCell ref="B3:B5"/>
    <mergeCell ref="D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Eth_switch_1gbit_кур</vt:lpstr>
      <vt:lpstr>Лист1</vt:lpstr>
      <vt:lpstr>Лист2</vt:lpstr>
      <vt:lpstr>Eth_switch_1gbit_кур!Заголовки_для_печати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shustrik</dc:creator>
  <cp:lastModifiedBy>shustrik</cp:lastModifiedBy>
  <dcterms:created xsi:type="dcterms:W3CDTF">2025-12-14T17:43:16Z</dcterms:created>
  <dcterms:modified xsi:type="dcterms:W3CDTF">2025-12-15T00:16:46Z</dcterms:modified>
</cp:coreProperties>
</file>